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file\BaiduSyncdisk\Project\PCB\Motor\制版文件与BOM\"/>
    </mc:Choice>
  </mc:AlternateContent>
  <bookViews>
    <workbookView windowWidth="29868" windowHeight="13500"/>
  </bookViews>
  <sheets>
    <sheet name="最终BOM" sheetId="1" r:id="rId1"/>
    <sheet name="归并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<sst xmlns="http://schemas.openxmlformats.org/spreadsheetml/2006/main" count="433" uniqueCount="219">
  <si>
    <t>序号</t>
  </si>
  <si>
    <t>分类</t>
  </si>
  <si>
    <t>数量</t>
  </si>
  <si>
    <t>位号</t>
  </si>
  <si>
    <t>参数/型号</t>
  </si>
  <si>
    <t>封装</t>
  </si>
  <si>
    <t>精度/规格</t>
  </si>
  <si>
    <t>制造商料号</t>
  </si>
  <si>
    <t>制造商</t>
  </si>
  <si>
    <t>立创编号</t>
  </si>
  <si>
    <t>供应商</t>
  </si>
  <si>
    <t>装配</t>
  </si>
  <si>
    <t>备注</t>
  </si>
  <si>
    <t>电容</t>
  </si>
  <si>
    <t>C42, C44, C46, C54, C66</t>
  </si>
  <si>
    <t>10uF</t>
  </si>
  <si>
    <t>C0603</t>
  </si>
  <si>
    <t/>
  </si>
  <si>
    <t>贴装</t>
  </si>
  <si>
    <r>
      <t>同值合并；若统一采购一种料，耐压需覆盖</t>
    </r>
    <r>
      <rPr>
        <sz val="11"/>
        <rFont val="Carlito"/>
        <charset val="134"/>
      </rPr>
      <t>VBUS</t>
    </r>
    <r>
      <rPr>
        <sz val="11"/>
        <rFont val="宋体"/>
        <charset val="134"/>
      </rPr>
      <t>侧器件</t>
    </r>
    <r>
      <rPr>
        <sz val="11"/>
        <rFont val="Carlito"/>
        <charset val="134"/>
      </rPr>
      <t>50V</t>
    </r>
  </si>
  <si>
    <t>C43, C45, C47, C63, C72</t>
  </si>
  <si>
    <t>4.7uF</t>
  </si>
  <si>
    <t>C48</t>
  </si>
  <si>
    <t>10nF</t>
  </si>
  <si>
    <t>模拟电源去耦，保留10nF</t>
  </si>
  <si>
    <t>C49, C59, C71, C76, C78</t>
  </si>
  <si>
    <t>1uF</t>
  </si>
  <si>
    <t>C50, C53, C58, C64, C65, C70, C75, C77, C79</t>
  </si>
  <si>
    <t>100nF</t>
  </si>
  <si>
    <t>C65/C75/C77已归并为100nF；MCU数字去耦包含在此</t>
  </si>
  <si>
    <t>C55, C56, C57</t>
  </si>
  <si>
    <t>470nF</t>
  </si>
  <si>
    <t>DRV8300三路Bootstrap电容，保持470nF</t>
  </si>
  <si>
    <t>C60, C61, C62</t>
  </si>
  <si>
    <t>68nF</t>
  </si>
  <si>
    <t>X7R</t>
  </si>
  <si>
    <t>三相相电压ADC滤波，保留68nF</t>
  </si>
  <si>
    <t>C82, C83</t>
  </si>
  <si>
    <t>10pF</t>
  </si>
  <si>
    <t>16MHz晶振负载电容，保持10pF</t>
  </si>
  <si>
    <t>TVS</t>
  </si>
  <si>
    <t>D3</t>
  </si>
  <si>
    <t>PESD2CANFD24V-TR</t>
  </si>
  <si>
    <t>SOT-23-3_L2.9-W1.3-P1.90-LS2.4-BR</t>
  </si>
  <si>
    <t>Nexperia(安世)</t>
  </si>
  <si>
    <t>C552486</t>
  </si>
  <si>
    <t>LCSC</t>
  </si>
  <si>
    <t>CAN/CAN-FD保护</t>
  </si>
  <si>
    <t>二极管</t>
  </si>
  <si>
    <t>D5</t>
  </si>
  <si>
    <t>SS310</t>
  </si>
  <si>
    <t>DO-214AC_L4.3-W2.4-LS4.7-RD</t>
  </si>
  <si>
    <t>C9900021858</t>
  </si>
  <si>
    <t>BUCK续流二极管</t>
  </si>
  <si>
    <t>磁珠</t>
  </si>
  <si>
    <t>L4</t>
  </si>
  <si>
    <t>BLM18PG121SN1D</t>
  </si>
  <si>
    <t>L0603</t>
  </si>
  <si>
    <t>muRata(村田)</t>
  </si>
  <si>
    <t>C14709</t>
  </si>
  <si>
    <t>电感</t>
  </si>
  <si>
    <t>L5</t>
  </si>
  <si>
    <t>33uH</t>
  </si>
  <si>
    <t>IND-SMD_L4.0-W4.0_FNR40XXS</t>
  </si>
  <si>
    <t>FNR4030S330MT</t>
  </si>
  <si>
    <t>cjiang(长江微电)</t>
  </si>
  <si>
    <t>C167885</t>
  </si>
  <si>
    <t>BUCK电感</t>
  </si>
  <si>
    <t>LED</t>
  </si>
  <si>
    <t>LED1</t>
  </si>
  <si>
    <t>LED0603-FD</t>
  </si>
  <si>
    <t>Guiguang light(桂光光电)</t>
  </si>
  <si>
    <t>C51933292</t>
  </si>
  <si>
    <t>3V3电源指示</t>
  </si>
  <si>
    <t>MOSFET</t>
  </si>
  <si>
    <t>Q1, Q2, Q3</t>
  </si>
  <si>
    <t>XRS60V06F</t>
  </si>
  <si>
    <t>PDFN-8_L5.8-W4.9-P1.27-LS6.1-BL-1</t>
  </si>
  <si>
    <t>XNRUSEMI(新锐)</t>
  </si>
  <si>
    <t>C42457040</t>
  </si>
  <si>
    <t>三相功率MOS</t>
  </si>
  <si>
    <t>电阻</t>
  </si>
  <si>
    <t>R14</t>
  </si>
  <si>
    <t>1kΩ</t>
  </si>
  <si>
    <t>R0603</t>
  </si>
  <si>
    <t>1%</t>
  </si>
  <si>
    <t>LED限流</t>
  </si>
  <si>
    <t>采样电阻</t>
  </si>
  <si>
    <t>R21, R22, R23</t>
  </si>
  <si>
    <t>5mΩ</t>
  </si>
  <si>
    <t>R2512</t>
  </si>
  <si>
    <t>JER2512F3R005</t>
  </si>
  <si>
    <t>JIERR(捷而瑞)</t>
  </si>
  <si>
    <t>C46634460</t>
  </si>
  <si>
    <t>三相电流采样；普通电阻中仅此组保留指定厂商/料号</t>
  </si>
  <si>
    <t>R25, R26, R38</t>
  </si>
  <si>
    <t>10k</t>
  </si>
  <si>
    <t>R38已与R25/R26统一为10k</t>
  </si>
  <si>
    <t>R27</t>
  </si>
  <si>
    <t>120Ω</t>
  </si>
  <si>
    <t>DNP</t>
  </si>
  <si>
    <t>CAN可选终端电阻，默认不贴</t>
  </si>
  <si>
    <t>R28, R30, R32, R34, R36, R39</t>
  </si>
  <si>
    <t>100k</t>
  </si>
  <si>
    <t>R29, R31, R33, R35</t>
  </si>
  <si>
    <t>5.1k</t>
  </si>
  <si>
    <t>R35已由4.7k归并为5.1k；软件VBUS比例系数需按5.1k计算</t>
  </si>
  <si>
    <t>R37</t>
  </si>
  <si>
    <t>68k</t>
  </si>
  <si>
    <t>BUCK反馈上臂，保持68k</t>
  </si>
  <si>
    <t>R40, R41, R42, R43, R44, R45</t>
  </si>
  <si>
    <t>10Ω</t>
  </si>
  <si>
    <t>六路MOS栅极电阻</t>
  </si>
  <si>
    <t>R46, R49, R51, R54, R56, R59</t>
  </si>
  <si>
    <t>5k</t>
  </si>
  <si>
    <t>0.1%</t>
  </si>
  <si>
    <t>电流放大网络，禁止用1%替代</t>
  </si>
  <si>
    <t>R47, R48, R52, R53, R57, R58</t>
  </si>
  <si>
    <t>240k</t>
  </si>
  <si>
    <t>电流放大/偏置匹配网络，禁止随意归并</t>
  </si>
  <si>
    <t>R50, R55, R60</t>
  </si>
  <si>
    <t>120k</t>
  </si>
  <si>
    <t>电流放大反馈网络，禁止随意归并</t>
  </si>
  <si>
    <t>栅极驱动</t>
  </si>
  <si>
    <t>U10</t>
  </si>
  <si>
    <t>DRV8300DRGER-MS</t>
  </si>
  <si>
    <t>HVQFN-24_L4.0-W4.0-P0.50-BL-EP2.6</t>
  </si>
  <si>
    <t>MSKSEMI(美森科)</t>
  </si>
  <si>
    <t>C54781073</t>
  </si>
  <si>
    <t>EP按当前设计保持独立网络</t>
  </si>
  <si>
    <t>CAN收发器</t>
  </si>
  <si>
    <t>U11</t>
  </si>
  <si>
    <t>TCAN3414DDFR</t>
  </si>
  <si>
    <t>TSOT-23-8_L2.9-W1.6-P0.65-LS2.8-BR</t>
  </si>
  <si>
    <t>TI(德州仪器)</t>
  </si>
  <si>
    <t>C24836183</t>
  </si>
  <si>
    <t>BUCK</t>
  </si>
  <si>
    <t>U12</t>
  </si>
  <si>
    <t>LMR16006XDDCR</t>
  </si>
  <si>
    <t>SOT-23-6_L2.9-W1.6-P0.95-LS2.8-BR</t>
  </si>
  <si>
    <t>C87080</t>
  </si>
  <si>
    <t>24V→6V</t>
  </si>
  <si>
    <t>LDO</t>
  </si>
  <si>
    <t>U14</t>
  </si>
  <si>
    <t>NCP718AMT330TBG</t>
  </si>
  <si>
    <t>WDFN-6_L2.0-W2.0-P0.65-BL-EP</t>
  </si>
  <si>
    <t>onsemi(安森美)</t>
  </si>
  <si>
    <t>C603783</t>
  </si>
  <si>
    <t>6V→3.3V</t>
  </si>
  <si>
    <t>MCU</t>
  </si>
  <si>
    <t>U17</t>
  </si>
  <si>
    <t>STM32G431CBT6</t>
  </si>
  <si>
    <t>LQFP-48_L7.0-W7.0-P0.50-LS9.0-BL</t>
  </si>
  <si>
    <t>ST(意法半导体)</t>
  </si>
  <si>
    <t>C529355</t>
  </si>
  <si>
    <t>排针</t>
  </si>
  <si>
    <t>U18, U19</t>
  </si>
  <si>
    <t>HX PZ2.54-1x4P ZZ</t>
  </si>
  <si>
    <t>HDR-TH_4P-P2.54-V-M</t>
  </si>
  <si>
    <t>hanxia(韩下)</t>
  </si>
  <si>
    <t>C32713270</t>
  </si>
  <si>
    <t>晶振</t>
  </si>
  <si>
    <t>X1</t>
  </si>
  <si>
    <t>16MHz</t>
  </si>
  <si>
    <t>CRYSTAL-SMD_4P-L2.0-W1.6-BL_XL7EL89COI-111YLC-16M</t>
  </si>
  <si>
    <t>XL7EL89COI-111YLC-16M</t>
  </si>
  <si>
    <t>YXC(扬兴晶振)</t>
  </si>
  <si>
    <t>C2965579</t>
  </si>
  <si>
    <t>BOM 归并与采购说明</t>
  </si>
  <si>
    <t>统计项</t>
  </si>
  <si>
    <t>数值</t>
  </si>
  <si>
    <t>BOM行项目</t>
  </si>
  <si>
    <t>器件总数（含DNP）</t>
  </si>
  <si>
    <t>默认贴装数量</t>
  </si>
  <si>
    <t>DNP数量</t>
  </si>
  <si>
    <t>普通电阻指定厂商</t>
  </si>
  <si>
    <t>仅R21/R22/R23 5mΩ采样电阻保留指定料号</t>
  </si>
  <si>
    <t>项目</t>
  </si>
  <si>
    <t>已确认处理</t>
  </si>
  <si>
    <t>保留原因/注意事项</t>
  </si>
  <si>
    <t>原理图动作</t>
  </si>
  <si>
    <t>PCB动作</t>
  </si>
  <si>
    <t>采购动作</t>
  </si>
  <si>
    <t>100nF归并</t>
  </si>
  <si>
    <t>C65/C75/C77归入100nF</t>
  </si>
  <si>
    <t>MCU数字去耦统一</t>
  </si>
  <si>
    <t>已完成</t>
  </si>
  <si>
    <t>PCB不改</t>
  </si>
  <si>
    <t>按100nF统一拿料</t>
  </si>
  <si>
    <t>10k归并</t>
  </si>
  <si>
    <t>R38与R25/R26合并</t>
  </si>
  <si>
    <t>同封装同阻值</t>
  </si>
  <si>
    <t>10k×3</t>
  </si>
  <si>
    <t>5.1k归并</t>
  </si>
  <si>
    <t>R35由4.7k改5.1k</t>
  </si>
  <si>
    <t>减少一种阻值；VBUS量程仍足够</t>
  </si>
  <si>
    <t>软件分压系数按5.1k更新</t>
  </si>
  <si>
    <t>10uF/4.7uF</t>
  </si>
  <si>
    <t>统一标称写法</t>
  </si>
  <si>
    <t>避免BOM因大小写拆行</t>
  </si>
  <si>
    <t>若只买一种料，耐压覆盖VBUS侧</t>
  </si>
  <si>
    <t>不归并到100nF</t>
  </si>
  <si>
    <t>相电压滤波动态特性</t>
  </si>
  <si>
    <t>保持68nF</t>
  </si>
  <si>
    <t>不归并</t>
  </si>
  <si>
    <t>DRV8300 Bootstrap</t>
  </si>
  <si>
    <t>保持470nF</t>
  </si>
  <si>
    <t>三颗同料</t>
  </si>
  <si>
    <t>5k/240k/120k</t>
  </si>
  <si>
    <t>禁止归并</t>
  </si>
  <si>
    <t>三相电流放大比例/匹配</t>
  </si>
  <si>
    <t>保持原值</t>
  </si>
  <si>
    <t>必须0.1%</t>
  </si>
  <si>
    <t>保持指定料号</t>
  </si>
  <si>
    <t>电流采样关键器件</t>
  </si>
  <si>
    <t>保持</t>
  </si>
  <si>
    <t>R27 120Ω</t>
  </si>
  <si>
    <t>CAN终端仅总线末端安装</t>
  </si>
  <si>
    <t>默认不贴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</si>
</sst>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1" applyNumberFormat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8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wrapText="1"/>
    </xf>
    <xf numFmtId="0" fontId="0" fillId="0" borderId="3" xfId="49" applyNumberFormat="1" applyFont="1" applyFill="1" applyBorder="1" applyAlignment="1">
      <alignment wrapText="1"/>
    </xf>
    <xf numFmtId="0" fontId="0" fillId="0" borderId="4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5" xfId="49" applyNumberFormat="1" applyFont="1" applyFill="1" applyBorder="1" applyAlignment="1">
      <alignment wrapText="1"/>
    </xf>
    <xf numFmtId="0" fontId="3" fillId="4" borderId="4" xfId="49" applyNumberFormat="1" applyFont="1" applyFill="1" applyBorder="1" applyAlignment="1">
      <alignment horizontal="center" wrapText="1"/>
    </xf>
    <xf numFmtId="0" fontId="3" fillId="4" borderId="0" xfId="49" applyNumberFormat="1" applyFont="1" applyFill="1" applyBorder="1" applyAlignment="1">
      <alignment horizontal="center" wrapText="1"/>
    </xf>
    <xf numFmtId="0" fontId="3" fillId="4" borderId="5" xfId="49" applyNumberFormat="1" applyFont="1" applyFill="1" applyBorder="1" applyAlignment="1">
      <alignment horizontal="center" wrapText="1"/>
    </xf>
    <xf numFmtId="0" fontId="0" fillId="0" borderId="6" xfId="49" applyNumberFormat="1" applyFont="1" applyFill="1" applyBorder="1" applyAlignment="1">
      <alignment wrapText="1"/>
    </xf>
    <xf numFmtId="0" fontId="0" fillId="0" borderId="7" xfId="49" applyNumberFormat="1" applyFont="1" applyFill="1" applyBorder="1" applyAlignment="1">
      <alignment wrapText="1"/>
    </xf>
    <xf numFmtId="0" fontId="0" fillId="0" borderId="8" xfId="49" applyNumberFormat="1" applyFont="1" applyFill="1" applyBorder="1" applyAlignment="1">
      <alignment wrapText="1"/>
    </xf>
    <xf numFmtId="0" fontId="3" fillId="4" borderId="9" xfId="49" applyNumberFormat="1" applyFont="1" applyFill="1" applyBorder="1" applyAlignment="1">
      <alignment horizontal="center" vertical="center"/>
    </xf>
    <xf numFmtId="0" fontId="3" fillId="4" borderId="10" xfId="49" applyNumberFormat="1" applyFont="1" applyFill="1" applyBorder="1" applyAlignment="1">
      <alignment horizontal="center" vertical="center"/>
    </xf>
    <xf numFmtId="0" fontId="3" fillId="4" borderId="11" xfId="49" applyNumberFormat="1" applyFont="1" applyFill="1" applyBorder="1" applyAlignment="1">
      <alignment horizontal="center" vertical="center"/>
    </xf>
    <xf numFmtId="0" fontId="0" fillId="0" borderId="12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horizontal="center" wrapText="1"/>
    </xf>
    <xf numFmtId="0" fontId="4" fillId="0" borderId="13" xfId="49" applyNumberFormat="1" applyFont="1" applyFill="1" applyBorder="1" applyAlignment="1">
      <alignment wrapText="1"/>
    </xf>
    <xf numFmtId="0" fontId="0" fillId="0" borderId="13" xfId="49" applyNumberFormat="1" applyFont="1" applyFill="1" applyBorder="1" applyAlignment="1">
      <alignment wrapText="1"/>
    </xf>
    <xf numFmtId="0" fontId="0" fillId="0" borderId="14" xfId="49" applyNumberFormat="1" applyFont="1" applyFill="1" applyBorder="1" applyAlignment="1">
      <alignment horizontal="center" wrapText="1"/>
    </xf>
    <xf numFmtId="0" fontId="0" fillId="0" borderId="15" xfId="49" applyNumberFormat="1" applyFont="1" applyFill="1" applyBorder="1" applyAlignment="1">
      <alignment wrapText="1"/>
    </xf>
    <xf numFmtId="0" fontId="0" fillId="0" borderId="15" xfId="49" applyNumberFormat="1" applyFont="1" applyFill="1" applyBorder="1" applyAlignment="1">
      <alignment horizontal="center" wrapText="1"/>
    </xf>
    <xf numFmtId="0" fontId="0" fillId="0" borderId="16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nalBOMTable" displayName="FinalBOMTable" ref="A1:M33" totalsRowShown="0">
  <tableColumns count="13">
    <tableColumn id="1" name="序号"/>
    <tableColumn id="2" name="分类"/>
    <tableColumn id="3" name="数量"/>
    <tableColumn id="4" name="位号"/>
    <tableColumn id="5" name="参数/型号"/>
    <tableColumn id="6" name="封装"/>
    <tableColumn id="7" name="精度/规格"/>
    <tableColumn id="8" name="制造商料号"/>
    <tableColumn id="9" name="制造商"/>
    <tableColumn id="10" name="立创编号"/>
    <tableColumn id="11" name="供应商"/>
    <tableColumn id="12" name="装配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85" zoomScaleNormal="85" workbookViewId="0">
      <selection activeCell="G40" sqref="G40"/>
    </sheetView>
  </sheetViews>
  <sheetFormatPr defaultColWidth="9" defaultRowHeight="13.8"/>
  <cols>
    <col min="1" max="1" width="7" customWidth="1"/>
    <col min="2" max="2" width="12" customWidth="1"/>
    <col min="3" max="3" width="8" customWidth="1"/>
    <col min="4" max="4" width="30" customWidth="1"/>
    <col min="5" max="5" width="24" customWidth="1"/>
    <col min="6" max="6" width="38" customWidth="1"/>
    <col min="7" max="7" width="15" customWidth="1"/>
    <col min="8" max="8" width="24" customWidth="1"/>
    <col min="9" max="9" width="22" customWidth="1"/>
    <col min="10" max="10" width="14" customWidth="1"/>
    <col min="11" max="12" width="10" customWidth="1"/>
    <col min="13" max="13" width="40" customWidth="1"/>
  </cols>
  <sheetData>
    <row r="1" ht="24" customHeight="1" spans="1:1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12</v>
      </c>
    </row>
    <row r="2" ht="28.8" spans="1:13">
      <c r="A2" s="18">
        <v>1</v>
      </c>
      <c r="B2" s="7" t="s">
        <v>13</v>
      </c>
      <c r="C2" s="19">
        <v>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17</v>
      </c>
      <c r="I2" s="7" t="s">
        <v>17</v>
      </c>
      <c r="J2" s="7" t="s">
        <v>17</v>
      </c>
      <c r="K2" s="7" t="s">
        <v>17</v>
      </c>
      <c r="L2" s="19" t="s">
        <v>18</v>
      </c>
      <c r="M2" s="20" t="s">
        <v>19</v>
      </c>
    </row>
    <row r="3" ht="28.8" spans="1:13">
      <c r="A3" s="18">
        <v>2</v>
      </c>
      <c r="B3" s="7" t="s">
        <v>13</v>
      </c>
      <c r="C3" s="19">
        <v>5</v>
      </c>
      <c r="D3" s="7" t="s">
        <v>20</v>
      </c>
      <c r="E3" s="7" t="s">
        <v>21</v>
      </c>
      <c r="F3" s="7" t="s">
        <v>16</v>
      </c>
      <c r="G3" s="7" t="s">
        <v>17</v>
      </c>
      <c r="H3" s="7" t="s">
        <v>17</v>
      </c>
      <c r="I3" s="7" t="s">
        <v>17</v>
      </c>
      <c r="J3" s="7" t="s">
        <v>17</v>
      </c>
      <c r="K3" s="7" t="s">
        <v>17</v>
      </c>
      <c r="L3" s="19" t="s">
        <v>18</v>
      </c>
      <c r="M3" s="20" t="s">
        <v>19</v>
      </c>
    </row>
    <row r="4" ht="14.4" spans="1:13">
      <c r="A4" s="18">
        <v>3</v>
      </c>
      <c r="B4" s="7" t="s">
        <v>13</v>
      </c>
      <c r="C4" s="19">
        <v>1</v>
      </c>
      <c r="D4" s="7" t="s">
        <v>22</v>
      </c>
      <c r="E4" s="7" t="s">
        <v>23</v>
      </c>
      <c r="F4" s="7" t="s">
        <v>16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  <c r="L4" s="19" t="s">
        <v>18</v>
      </c>
      <c r="M4" s="21" t="s">
        <v>24</v>
      </c>
    </row>
    <row r="5" ht="14.4" spans="1:13">
      <c r="A5" s="18">
        <v>4</v>
      </c>
      <c r="B5" s="7" t="s">
        <v>13</v>
      </c>
      <c r="C5" s="19">
        <v>5</v>
      </c>
      <c r="D5" s="7" t="s">
        <v>25</v>
      </c>
      <c r="E5" s="7" t="s">
        <v>26</v>
      </c>
      <c r="F5" s="7" t="s">
        <v>16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19" t="s">
        <v>18</v>
      </c>
      <c r="M5" s="21" t="s">
        <v>17</v>
      </c>
    </row>
    <row r="6" ht="28.8" spans="1:13">
      <c r="A6" s="18">
        <v>5</v>
      </c>
      <c r="B6" s="7" t="s">
        <v>13</v>
      </c>
      <c r="C6" s="19">
        <v>9</v>
      </c>
      <c r="D6" s="7" t="s">
        <v>27</v>
      </c>
      <c r="E6" s="7" t="s">
        <v>28</v>
      </c>
      <c r="F6" s="7" t="s">
        <v>16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19" t="s">
        <v>18</v>
      </c>
      <c r="M6" s="21" t="s">
        <v>29</v>
      </c>
    </row>
    <row r="7" ht="14.4" spans="1:13">
      <c r="A7" s="18">
        <v>6</v>
      </c>
      <c r="B7" s="7" t="s">
        <v>13</v>
      </c>
      <c r="C7" s="19">
        <v>3</v>
      </c>
      <c r="D7" s="7" t="s">
        <v>30</v>
      </c>
      <c r="E7" s="7" t="s">
        <v>31</v>
      </c>
      <c r="F7" s="7" t="s">
        <v>16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19" t="s">
        <v>18</v>
      </c>
      <c r="M7" s="21" t="s">
        <v>32</v>
      </c>
    </row>
    <row r="8" ht="14.4" spans="1:13">
      <c r="A8" s="18">
        <v>7</v>
      </c>
      <c r="B8" s="7" t="s">
        <v>13</v>
      </c>
      <c r="C8" s="19">
        <v>3</v>
      </c>
      <c r="D8" s="7" t="s">
        <v>33</v>
      </c>
      <c r="E8" s="7" t="s">
        <v>34</v>
      </c>
      <c r="F8" s="7" t="s">
        <v>16</v>
      </c>
      <c r="G8" s="7" t="s">
        <v>35</v>
      </c>
      <c r="H8" s="7" t="s">
        <v>17</v>
      </c>
      <c r="I8" s="7" t="s">
        <v>17</v>
      </c>
      <c r="J8" s="7" t="s">
        <v>17</v>
      </c>
      <c r="K8" s="7" t="s">
        <v>17</v>
      </c>
      <c r="L8" s="19" t="s">
        <v>18</v>
      </c>
      <c r="M8" s="21" t="s">
        <v>36</v>
      </c>
    </row>
    <row r="9" ht="14.4" spans="1:13">
      <c r="A9" s="18">
        <v>8</v>
      </c>
      <c r="B9" s="7" t="s">
        <v>13</v>
      </c>
      <c r="C9" s="19">
        <v>2</v>
      </c>
      <c r="D9" s="7" t="s">
        <v>37</v>
      </c>
      <c r="E9" s="7" t="s">
        <v>38</v>
      </c>
      <c r="F9" s="7" t="s">
        <v>16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19" t="s">
        <v>18</v>
      </c>
      <c r="M9" s="21" t="s">
        <v>39</v>
      </c>
    </row>
    <row r="10" ht="14.4" spans="1:13">
      <c r="A10" s="18">
        <v>9</v>
      </c>
      <c r="B10" s="7" t="s">
        <v>40</v>
      </c>
      <c r="C10" s="19">
        <v>1</v>
      </c>
      <c r="D10" s="7" t="s">
        <v>41</v>
      </c>
      <c r="E10" s="7" t="s">
        <v>42</v>
      </c>
      <c r="F10" s="7" t="s">
        <v>43</v>
      </c>
      <c r="G10" s="7" t="s">
        <v>17</v>
      </c>
      <c r="H10" s="7" t="s">
        <v>42</v>
      </c>
      <c r="I10" s="7" t="s">
        <v>44</v>
      </c>
      <c r="J10" s="7" t="s">
        <v>45</v>
      </c>
      <c r="K10" s="7" t="s">
        <v>46</v>
      </c>
      <c r="L10" s="19" t="s">
        <v>18</v>
      </c>
      <c r="M10" s="21" t="s">
        <v>47</v>
      </c>
    </row>
    <row r="11" ht="14.4" spans="1:13">
      <c r="A11" s="18">
        <v>10</v>
      </c>
      <c r="B11" s="7" t="s">
        <v>48</v>
      </c>
      <c r="C11" s="19">
        <v>1</v>
      </c>
      <c r="D11" s="7" t="s">
        <v>49</v>
      </c>
      <c r="E11" s="7" t="s">
        <v>50</v>
      </c>
      <c r="F11" s="7" t="s">
        <v>51</v>
      </c>
      <c r="G11" s="7" t="s">
        <v>17</v>
      </c>
      <c r="H11" s="7" t="s">
        <v>50</v>
      </c>
      <c r="I11" s="7" t="s">
        <v>17</v>
      </c>
      <c r="J11" s="7" t="s">
        <v>52</v>
      </c>
      <c r="K11" s="7" t="s">
        <v>46</v>
      </c>
      <c r="L11" s="19" t="s">
        <v>18</v>
      </c>
      <c r="M11" s="21" t="s">
        <v>53</v>
      </c>
    </row>
    <row r="12" ht="14.4" spans="1:13">
      <c r="A12" s="18">
        <v>11</v>
      </c>
      <c r="B12" s="7" t="s">
        <v>54</v>
      </c>
      <c r="C12" s="19">
        <v>1</v>
      </c>
      <c r="D12" s="7" t="s">
        <v>55</v>
      </c>
      <c r="E12" s="7" t="s">
        <v>56</v>
      </c>
      <c r="F12" s="7" t="s">
        <v>57</v>
      </c>
      <c r="G12" s="7" t="s">
        <v>17</v>
      </c>
      <c r="H12" s="7" t="s">
        <v>56</v>
      </c>
      <c r="I12" s="7" t="s">
        <v>58</v>
      </c>
      <c r="J12" s="7" t="s">
        <v>59</v>
      </c>
      <c r="K12" s="7" t="s">
        <v>46</v>
      </c>
      <c r="L12" s="19" t="s">
        <v>18</v>
      </c>
      <c r="M12" s="21" t="s">
        <v>17</v>
      </c>
    </row>
    <row r="13" ht="14.4" spans="1:13">
      <c r="A13" s="18">
        <v>12</v>
      </c>
      <c r="B13" s="7" t="s">
        <v>60</v>
      </c>
      <c r="C13" s="19">
        <v>1</v>
      </c>
      <c r="D13" s="7" t="s">
        <v>61</v>
      </c>
      <c r="E13" s="7" t="s">
        <v>62</v>
      </c>
      <c r="F13" s="7" t="s">
        <v>63</v>
      </c>
      <c r="G13" s="7" t="s">
        <v>17</v>
      </c>
      <c r="H13" s="7" t="s">
        <v>64</v>
      </c>
      <c r="I13" s="7" t="s">
        <v>65</v>
      </c>
      <c r="J13" s="7" t="s">
        <v>66</v>
      </c>
      <c r="K13" s="7" t="s">
        <v>46</v>
      </c>
      <c r="L13" s="19" t="s">
        <v>18</v>
      </c>
      <c r="M13" s="21" t="s">
        <v>67</v>
      </c>
    </row>
    <row r="14" ht="14.4" spans="1:13">
      <c r="A14" s="18">
        <v>13</v>
      </c>
      <c r="B14" s="7" t="s">
        <v>68</v>
      </c>
      <c r="C14" s="19">
        <v>1</v>
      </c>
      <c r="D14" s="7" t="s">
        <v>69</v>
      </c>
      <c r="E14" s="7" t="s">
        <v>68</v>
      </c>
      <c r="F14" s="7" t="s">
        <v>70</v>
      </c>
      <c r="G14" s="7" t="s">
        <v>17</v>
      </c>
      <c r="H14" s="7" t="s">
        <v>68</v>
      </c>
      <c r="I14" s="7" t="s">
        <v>71</v>
      </c>
      <c r="J14" s="7" t="s">
        <v>72</v>
      </c>
      <c r="K14" s="7" t="s">
        <v>46</v>
      </c>
      <c r="L14" s="19" t="s">
        <v>18</v>
      </c>
      <c r="M14" s="21" t="s">
        <v>73</v>
      </c>
    </row>
    <row r="15" ht="14.4" spans="1:13">
      <c r="A15" s="18">
        <v>14</v>
      </c>
      <c r="B15" s="7" t="s">
        <v>74</v>
      </c>
      <c r="C15" s="19">
        <v>3</v>
      </c>
      <c r="D15" s="7" t="s">
        <v>75</v>
      </c>
      <c r="E15" s="7" t="s">
        <v>76</v>
      </c>
      <c r="F15" s="7" t="s">
        <v>77</v>
      </c>
      <c r="G15" s="7" t="s">
        <v>17</v>
      </c>
      <c r="H15" s="7" t="s">
        <v>76</v>
      </c>
      <c r="I15" s="7" t="s">
        <v>78</v>
      </c>
      <c r="J15" s="7" t="s">
        <v>79</v>
      </c>
      <c r="K15" s="7" t="s">
        <v>46</v>
      </c>
      <c r="L15" s="19" t="s">
        <v>18</v>
      </c>
      <c r="M15" s="21" t="s">
        <v>80</v>
      </c>
    </row>
    <row r="16" ht="14.4" spans="1:13">
      <c r="A16" s="18">
        <v>15</v>
      </c>
      <c r="B16" s="7" t="s">
        <v>81</v>
      </c>
      <c r="C16" s="19">
        <v>1</v>
      </c>
      <c r="D16" s="7" t="s">
        <v>82</v>
      </c>
      <c r="E16" s="7" t="s">
        <v>83</v>
      </c>
      <c r="F16" s="7" t="s">
        <v>84</v>
      </c>
      <c r="G16" s="7" t="s">
        <v>85</v>
      </c>
      <c r="H16" s="7" t="s">
        <v>17</v>
      </c>
      <c r="I16" s="7" t="s">
        <v>17</v>
      </c>
      <c r="J16" s="7" t="s">
        <v>17</v>
      </c>
      <c r="K16" s="7" t="s">
        <v>17</v>
      </c>
      <c r="L16" s="19" t="s">
        <v>18</v>
      </c>
      <c r="M16" s="21" t="s">
        <v>86</v>
      </c>
    </row>
    <row r="17" ht="28.8" spans="1:13">
      <c r="A17" s="18">
        <v>16</v>
      </c>
      <c r="B17" s="7" t="s">
        <v>87</v>
      </c>
      <c r="C17" s="19">
        <v>3</v>
      </c>
      <c r="D17" s="7" t="s">
        <v>88</v>
      </c>
      <c r="E17" s="7" t="s">
        <v>89</v>
      </c>
      <c r="F17" s="7" t="s">
        <v>90</v>
      </c>
      <c r="G17" s="7"/>
      <c r="H17" s="7" t="s">
        <v>91</v>
      </c>
      <c r="I17" s="7" t="s">
        <v>92</v>
      </c>
      <c r="J17" s="7" t="s">
        <v>93</v>
      </c>
      <c r="K17" s="7" t="s">
        <v>46</v>
      </c>
      <c r="L17" s="19" t="s">
        <v>18</v>
      </c>
      <c r="M17" s="21" t="s">
        <v>94</v>
      </c>
    </row>
    <row r="18" ht="14.4" spans="1:13">
      <c r="A18" s="18">
        <v>17</v>
      </c>
      <c r="B18" s="7" t="s">
        <v>81</v>
      </c>
      <c r="C18" s="19">
        <v>3</v>
      </c>
      <c r="D18" s="7" t="s">
        <v>95</v>
      </c>
      <c r="E18" s="7" t="s">
        <v>96</v>
      </c>
      <c r="F18" s="7" t="s">
        <v>84</v>
      </c>
      <c r="G18" s="7" t="s">
        <v>85</v>
      </c>
      <c r="H18" s="7" t="s">
        <v>17</v>
      </c>
      <c r="I18" s="7" t="s">
        <v>17</v>
      </c>
      <c r="J18" s="7" t="s">
        <v>17</v>
      </c>
      <c r="K18" s="7" t="s">
        <v>17</v>
      </c>
      <c r="L18" s="19" t="s">
        <v>18</v>
      </c>
      <c r="M18" s="21" t="s">
        <v>97</v>
      </c>
    </row>
    <row r="19" ht="14.4" spans="1:13">
      <c r="A19" s="18">
        <v>18</v>
      </c>
      <c r="B19" s="7" t="s">
        <v>81</v>
      </c>
      <c r="C19" s="19">
        <v>1</v>
      </c>
      <c r="D19" s="7" t="s">
        <v>98</v>
      </c>
      <c r="E19" s="7" t="s">
        <v>99</v>
      </c>
      <c r="F19" s="7" t="s">
        <v>84</v>
      </c>
      <c r="G19" s="7" t="s">
        <v>85</v>
      </c>
      <c r="H19" s="7" t="s">
        <v>17</v>
      </c>
      <c r="I19" s="7" t="s">
        <v>17</v>
      </c>
      <c r="J19" s="7" t="s">
        <v>17</v>
      </c>
      <c r="K19" s="7" t="s">
        <v>17</v>
      </c>
      <c r="L19" s="19" t="s">
        <v>100</v>
      </c>
      <c r="M19" s="21" t="s">
        <v>101</v>
      </c>
    </row>
    <row r="20" ht="14.4" spans="1:13">
      <c r="A20" s="18">
        <v>19</v>
      </c>
      <c r="B20" s="7" t="s">
        <v>81</v>
      </c>
      <c r="C20" s="19">
        <v>6</v>
      </c>
      <c r="D20" s="7" t="s">
        <v>102</v>
      </c>
      <c r="E20" s="7" t="s">
        <v>103</v>
      </c>
      <c r="F20" s="7" t="s">
        <v>84</v>
      </c>
      <c r="G20" s="7" t="s">
        <v>85</v>
      </c>
      <c r="H20" s="7" t="s">
        <v>17</v>
      </c>
      <c r="I20" s="7" t="s">
        <v>17</v>
      </c>
      <c r="J20" s="7" t="s">
        <v>17</v>
      </c>
      <c r="K20" s="7" t="s">
        <v>17</v>
      </c>
      <c r="L20" s="19" t="s">
        <v>18</v>
      </c>
      <c r="M20" s="21" t="s">
        <v>17</v>
      </c>
    </row>
    <row r="21" ht="28.8" spans="1:13">
      <c r="A21" s="18">
        <v>20</v>
      </c>
      <c r="B21" s="7" t="s">
        <v>81</v>
      </c>
      <c r="C21" s="19">
        <v>4</v>
      </c>
      <c r="D21" s="7" t="s">
        <v>104</v>
      </c>
      <c r="E21" s="7" t="s">
        <v>105</v>
      </c>
      <c r="F21" s="7" t="s">
        <v>84</v>
      </c>
      <c r="G21" s="7" t="s">
        <v>85</v>
      </c>
      <c r="H21" s="7" t="s">
        <v>17</v>
      </c>
      <c r="I21" s="7" t="s">
        <v>17</v>
      </c>
      <c r="J21" s="7" t="s">
        <v>17</v>
      </c>
      <c r="K21" s="7" t="s">
        <v>17</v>
      </c>
      <c r="L21" s="19" t="s">
        <v>18</v>
      </c>
      <c r="M21" s="21" t="s">
        <v>106</v>
      </c>
    </row>
    <row r="22" ht="14.4" spans="1:13">
      <c r="A22" s="18">
        <v>21</v>
      </c>
      <c r="B22" s="7" t="s">
        <v>81</v>
      </c>
      <c r="C22" s="19">
        <v>1</v>
      </c>
      <c r="D22" s="7" t="s">
        <v>107</v>
      </c>
      <c r="E22" s="7" t="s">
        <v>108</v>
      </c>
      <c r="F22" s="7" t="s">
        <v>84</v>
      </c>
      <c r="G22" s="7" t="s">
        <v>85</v>
      </c>
      <c r="H22" s="7" t="s">
        <v>17</v>
      </c>
      <c r="I22" s="7" t="s">
        <v>17</v>
      </c>
      <c r="J22" s="7" t="s">
        <v>17</v>
      </c>
      <c r="K22" s="7" t="s">
        <v>17</v>
      </c>
      <c r="L22" s="19" t="s">
        <v>18</v>
      </c>
      <c r="M22" s="21" t="s">
        <v>109</v>
      </c>
    </row>
    <row r="23" ht="14.4" spans="1:13">
      <c r="A23" s="18">
        <v>22</v>
      </c>
      <c r="B23" s="7" t="s">
        <v>81</v>
      </c>
      <c r="C23" s="19">
        <v>6</v>
      </c>
      <c r="D23" s="7" t="s">
        <v>110</v>
      </c>
      <c r="E23" s="7" t="s">
        <v>111</v>
      </c>
      <c r="F23" s="7" t="s">
        <v>84</v>
      </c>
      <c r="G23" s="7" t="s">
        <v>85</v>
      </c>
      <c r="H23" s="7" t="s">
        <v>17</v>
      </c>
      <c r="I23" s="7" t="s">
        <v>17</v>
      </c>
      <c r="J23" s="7" t="s">
        <v>17</v>
      </c>
      <c r="K23" s="7" t="s">
        <v>17</v>
      </c>
      <c r="L23" s="19" t="s">
        <v>18</v>
      </c>
      <c r="M23" s="21" t="s">
        <v>112</v>
      </c>
    </row>
    <row r="24" ht="14.4" spans="1:13">
      <c r="A24" s="18">
        <v>23</v>
      </c>
      <c r="B24" s="7" t="s">
        <v>81</v>
      </c>
      <c r="C24" s="19">
        <v>6</v>
      </c>
      <c r="D24" s="7" t="s">
        <v>113</v>
      </c>
      <c r="E24" s="7" t="s">
        <v>114</v>
      </c>
      <c r="F24" s="7" t="s">
        <v>84</v>
      </c>
      <c r="G24" s="7" t="s">
        <v>115</v>
      </c>
      <c r="H24" s="7" t="s">
        <v>17</v>
      </c>
      <c r="I24" s="7" t="s">
        <v>17</v>
      </c>
      <c r="J24" s="7" t="s">
        <v>17</v>
      </c>
      <c r="K24" s="7" t="s">
        <v>17</v>
      </c>
      <c r="L24" s="19" t="s">
        <v>18</v>
      </c>
      <c r="M24" s="21" t="s">
        <v>116</v>
      </c>
    </row>
    <row r="25" ht="14.4" spans="1:13">
      <c r="A25" s="18">
        <v>24</v>
      </c>
      <c r="B25" s="7" t="s">
        <v>81</v>
      </c>
      <c r="C25" s="19">
        <v>6</v>
      </c>
      <c r="D25" s="7" t="s">
        <v>117</v>
      </c>
      <c r="E25" s="7" t="s">
        <v>118</v>
      </c>
      <c r="F25" s="7" t="s">
        <v>84</v>
      </c>
      <c r="G25" s="7" t="s">
        <v>115</v>
      </c>
      <c r="H25" s="7" t="s">
        <v>17</v>
      </c>
      <c r="I25" s="7" t="s">
        <v>17</v>
      </c>
      <c r="J25" s="7" t="s">
        <v>17</v>
      </c>
      <c r="K25" s="7" t="s">
        <v>17</v>
      </c>
      <c r="L25" s="19" t="s">
        <v>18</v>
      </c>
      <c r="M25" s="21" t="s">
        <v>119</v>
      </c>
    </row>
    <row r="26" ht="14.4" spans="1:13">
      <c r="A26" s="18">
        <v>25</v>
      </c>
      <c r="B26" s="7" t="s">
        <v>81</v>
      </c>
      <c r="C26" s="19">
        <v>3</v>
      </c>
      <c r="D26" s="7" t="s">
        <v>120</v>
      </c>
      <c r="E26" s="7" t="s">
        <v>121</v>
      </c>
      <c r="F26" s="7" t="s">
        <v>84</v>
      </c>
      <c r="G26" s="7" t="s">
        <v>115</v>
      </c>
      <c r="H26" s="7" t="s">
        <v>17</v>
      </c>
      <c r="I26" s="7" t="s">
        <v>17</v>
      </c>
      <c r="J26" s="7" t="s">
        <v>17</v>
      </c>
      <c r="K26" s="7" t="s">
        <v>17</v>
      </c>
      <c r="L26" s="19" t="s">
        <v>18</v>
      </c>
      <c r="M26" s="21" t="s">
        <v>122</v>
      </c>
    </row>
    <row r="27" ht="14.4" spans="1:13">
      <c r="A27" s="18">
        <v>26</v>
      </c>
      <c r="B27" s="7" t="s">
        <v>123</v>
      </c>
      <c r="C27" s="19">
        <v>1</v>
      </c>
      <c r="D27" s="7" t="s">
        <v>124</v>
      </c>
      <c r="E27" s="7" t="s">
        <v>125</v>
      </c>
      <c r="F27" s="7" t="s">
        <v>126</v>
      </c>
      <c r="G27" s="7" t="s">
        <v>17</v>
      </c>
      <c r="H27" s="7" t="s">
        <v>125</v>
      </c>
      <c r="I27" s="7" t="s">
        <v>127</v>
      </c>
      <c r="J27" s="7" t="s">
        <v>128</v>
      </c>
      <c r="K27" s="7" t="s">
        <v>46</v>
      </c>
      <c r="L27" s="19" t="s">
        <v>18</v>
      </c>
      <c r="M27" s="21" t="s">
        <v>129</v>
      </c>
    </row>
    <row r="28" ht="14.4" spans="1:13">
      <c r="A28" s="18">
        <v>27</v>
      </c>
      <c r="B28" s="7" t="s">
        <v>130</v>
      </c>
      <c r="C28" s="19">
        <v>1</v>
      </c>
      <c r="D28" s="7" t="s">
        <v>131</v>
      </c>
      <c r="E28" s="7" t="s">
        <v>132</v>
      </c>
      <c r="F28" s="7" t="s">
        <v>133</v>
      </c>
      <c r="G28" s="7" t="s">
        <v>17</v>
      </c>
      <c r="H28" s="7" t="s">
        <v>132</v>
      </c>
      <c r="I28" s="7" t="s">
        <v>134</v>
      </c>
      <c r="J28" s="7" t="s">
        <v>135</v>
      </c>
      <c r="K28" s="7" t="s">
        <v>46</v>
      </c>
      <c r="L28" s="19" t="s">
        <v>18</v>
      </c>
      <c r="M28" s="21" t="s">
        <v>17</v>
      </c>
    </row>
    <row r="29" ht="14.4" spans="1:13">
      <c r="A29" s="18">
        <v>28</v>
      </c>
      <c r="B29" s="7" t="s">
        <v>136</v>
      </c>
      <c r="C29" s="19">
        <v>1</v>
      </c>
      <c r="D29" s="7" t="s">
        <v>137</v>
      </c>
      <c r="E29" s="7" t="s">
        <v>138</v>
      </c>
      <c r="F29" s="7" t="s">
        <v>139</v>
      </c>
      <c r="G29" s="7" t="s">
        <v>17</v>
      </c>
      <c r="H29" s="7" t="s">
        <v>138</v>
      </c>
      <c r="I29" s="7" t="s">
        <v>134</v>
      </c>
      <c r="J29" s="7" t="s">
        <v>140</v>
      </c>
      <c r="K29" s="7" t="s">
        <v>46</v>
      </c>
      <c r="L29" s="19" t="s">
        <v>18</v>
      </c>
      <c r="M29" s="21" t="s">
        <v>141</v>
      </c>
    </row>
    <row r="30" ht="14.4" spans="1:13">
      <c r="A30" s="18">
        <v>29</v>
      </c>
      <c r="B30" s="7" t="s">
        <v>142</v>
      </c>
      <c r="C30" s="19">
        <v>1</v>
      </c>
      <c r="D30" s="7" t="s">
        <v>143</v>
      </c>
      <c r="E30" s="7" t="s">
        <v>144</v>
      </c>
      <c r="F30" s="7" t="s">
        <v>145</v>
      </c>
      <c r="G30" s="7" t="s">
        <v>17</v>
      </c>
      <c r="H30" s="7" t="s">
        <v>144</v>
      </c>
      <c r="I30" s="7" t="s">
        <v>146</v>
      </c>
      <c r="J30" s="7" t="s">
        <v>147</v>
      </c>
      <c r="K30" s="7" t="s">
        <v>46</v>
      </c>
      <c r="L30" s="19" t="s">
        <v>18</v>
      </c>
      <c r="M30" s="21" t="s">
        <v>148</v>
      </c>
    </row>
    <row r="31" ht="14.4" spans="1:13">
      <c r="A31" s="18">
        <v>30</v>
      </c>
      <c r="B31" s="7" t="s">
        <v>149</v>
      </c>
      <c r="C31" s="19">
        <v>1</v>
      </c>
      <c r="D31" s="7" t="s">
        <v>150</v>
      </c>
      <c r="E31" s="7" t="s">
        <v>151</v>
      </c>
      <c r="F31" s="7" t="s">
        <v>152</v>
      </c>
      <c r="G31" s="7" t="s">
        <v>17</v>
      </c>
      <c r="H31" s="7" t="s">
        <v>151</v>
      </c>
      <c r="I31" s="7" t="s">
        <v>153</v>
      </c>
      <c r="J31" s="7" t="s">
        <v>154</v>
      </c>
      <c r="K31" s="7" t="s">
        <v>46</v>
      </c>
      <c r="L31" s="19" t="s">
        <v>18</v>
      </c>
      <c r="M31" s="21" t="s">
        <v>17</v>
      </c>
    </row>
    <row r="32" ht="14.4" spans="1:13">
      <c r="A32" s="18">
        <v>31</v>
      </c>
      <c r="B32" s="7" t="s">
        <v>155</v>
      </c>
      <c r="C32" s="19">
        <v>2</v>
      </c>
      <c r="D32" s="7" t="s">
        <v>156</v>
      </c>
      <c r="E32" s="7" t="s">
        <v>157</v>
      </c>
      <c r="F32" s="7" t="s">
        <v>158</v>
      </c>
      <c r="G32" s="7" t="s">
        <v>17</v>
      </c>
      <c r="H32" s="7" t="s">
        <v>157</v>
      </c>
      <c r="I32" s="7" t="s">
        <v>159</v>
      </c>
      <c r="J32" s="7" t="s">
        <v>160</v>
      </c>
      <c r="K32" s="7" t="s">
        <v>46</v>
      </c>
      <c r="L32" s="19" t="s">
        <v>18</v>
      </c>
      <c r="M32" s="21" t="s">
        <v>17</v>
      </c>
    </row>
    <row r="33" ht="27.6" spans="1:13">
      <c r="A33" s="22">
        <v>32</v>
      </c>
      <c r="B33" s="23" t="s">
        <v>161</v>
      </c>
      <c r="C33" s="24">
        <v>1</v>
      </c>
      <c r="D33" s="23" t="s">
        <v>162</v>
      </c>
      <c r="E33" s="23" t="s">
        <v>163</v>
      </c>
      <c r="F33" s="23" t="s">
        <v>164</v>
      </c>
      <c r="G33" s="23" t="s">
        <v>17</v>
      </c>
      <c r="H33" s="23" t="s">
        <v>165</v>
      </c>
      <c r="I33" s="23" t="s">
        <v>166</v>
      </c>
      <c r="J33" s="23" t="s">
        <v>167</v>
      </c>
      <c r="K33" s="23" t="s">
        <v>46</v>
      </c>
      <c r="L33" s="24" t="s">
        <v>18</v>
      </c>
      <c r="M33" s="25" t="s">
        <v>17</v>
      </c>
    </row>
  </sheetData>
  <conditionalFormatting sqref="B2:B33">
    <cfRule type="expression" dxfId="0" priority="3">
      <formula>B2="采样电阻"</formula>
    </cfRule>
  </conditionalFormatting>
  <conditionalFormatting sqref="G2:G33">
    <cfRule type="expression" dxfId="1" priority="1">
      <formula>G2="0.1%"</formula>
    </cfRule>
  </conditionalFormatting>
  <conditionalFormatting sqref="L2:L33">
    <cfRule type="expression" dxfId="2" priority="2">
      <formula>L2="DNP"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:F1"/>
    </sheetView>
  </sheetViews>
  <sheetFormatPr defaultColWidth="9" defaultRowHeight="13.8" outlineLevelCol="5"/>
  <cols>
    <col min="1" max="1" width="18" customWidth="1"/>
    <col min="2" max="2" width="28" customWidth="1"/>
    <col min="3" max="3" width="38" customWidth="1"/>
    <col min="4" max="5" width="18" customWidth="1"/>
    <col min="6" max="6" width="34" customWidth="1"/>
  </cols>
  <sheetData>
    <row r="1" ht="21" spans="1:6">
      <c r="A1" s="1" t="s">
        <v>168</v>
      </c>
      <c r="B1" s="1"/>
      <c r="C1" s="1"/>
      <c r="D1" s="1"/>
      <c r="E1" s="1"/>
      <c r="F1" s="1"/>
    </row>
    <row r="3" ht="14.4" spans="1:6">
      <c r="A3" s="2" t="s">
        <v>169</v>
      </c>
      <c r="B3" s="3" t="s">
        <v>170</v>
      </c>
      <c r="C3" s="4"/>
      <c r="D3" s="4"/>
      <c r="E3" s="4"/>
      <c r="F3" s="5"/>
    </row>
    <row r="4" ht="14.4" spans="1:6">
      <c r="A4" s="6" t="s">
        <v>171</v>
      </c>
      <c r="B4" s="7">
        <v>32</v>
      </c>
      <c r="C4" s="7"/>
      <c r="D4" s="7"/>
      <c r="E4" s="7"/>
      <c r="F4" s="8"/>
    </row>
    <row r="5" ht="14.4" spans="1:6">
      <c r="A5" s="6" t="s">
        <v>172</v>
      </c>
      <c r="B5" s="7">
        <f>SUM(最终BOM!C2:C33)</f>
        <v>89</v>
      </c>
      <c r="C5" s="7"/>
      <c r="D5" s="7"/>
      <c r="E5" s="7"/>
      <c r="F5" s="8"/>
    </row>
    <row r="6" ht="14.4" spans="1:6">
      <c r="A6" s="6" t="s">
        <v>173</v>
      </c>
      <c r="B6" s="7">
        <f>SUMIF(最终BOM!L2:L33,"贴装",最终BOM!C2:C33)</f>
        <v>88</v>
      </c>
      <c r="C6" s="7"/>
      <c r="D6" s="7"/>
      <c r="E6" s="7"/>
      <c r="F6" s="8"/>
    </row>
    <row r="7" ht="14.4" spans="1:6">
      <c r="A7" s="6" t="s">
        <v>174</v>
      </c>
      <c r="B7" s="7">
        <f>SUMIF(最终BOM!L2:L33,"DNP",最终BOM!C2:C33)</f>
        <v>1</v>
      </c>
      <c r="C7" s="7"/>
      <c r="D7" s="7"/>
      <c r="E7" s="7"/>
      <c r="F7" s="8"/>
    </row>
    <row r="8" ht="28.8" spans="1:6">
      <c r="A8" s="6" t="s">
        <v>175</v>
      </c>
      <c r="B8" s="7" t="s">
        <v>176</v>
      </c>
      <c r="C8" s="7"/>
      <c r="D8" s="7"/>
      <c r="E8" s="7"/>
      <c r="F8" s="8"/>
    </row>
    <row r="9" spans="1:6">
      <c r="A9" s="6"/>
      <c r="B9" s="7"/>
      <c r="C9" s="7"/>
      <c r="D9" s="7"/>
      <c r="E9" s="7"/>
      <c r="F9" s="8"/>
    </row>
    <row r="10" ht="14.4" spans="1:6">
      <c r="A10" s="9" t="s">
        <v>177</v>
      </c>
      <c r="B10" s="10" t="s">
        <v>178</v>
      </c>
      <c r="C10" s="10" t="s">
        <v>179</v>
      </c>
      <c r="D10" s="10" t="s">
        <v>180</v>
      </c>
      <c r="E10" s="10" t="s">
        <v>181</v>
      </c>
      <c r="F10" s="11" t="s">
        <v>182</v>
      </c>
    </row>
    <row r="11" ht="14.4" spans="1:6">
      <c r="A11" s="6" t="s">
        <v>183</v>
      </c>
      <c r="B11" s="7" t="s">
        <v>184</v>
      </c>
      <c r="C11" s="7" t="s">
        <v>185</v>
      </c>
      <c r="D11" s="7" t="s">
        <v>186</v>
      </c>
      <c r="E11" s="7" t="s">
        <v>187</v>
      </c>
      <c r="F11" s="8" t="s">
        <v>188</v>
      </c>
    </row>
    <row r="12" ht="14.4" spans="1:6">
      <c r="A12" s="6" t="s">
        <v>189</v>
      </c>
      <c r="B12" s="7" t="s">
        <v>190</v>
      </c>
      <c r="C12" s="7" t="s">
        <v>191</v>
      </c>
      <c r="D12" s="7" t="s">
        <v>186</v>
      </c>
      <c r="E12" s="7" t="s">
        <v>187</v>
      </c>
      <c r="F12" s="8" t="s">
        <v>192</v>
      </c>
    </row>
    <row r="13" ht="14.4" spans="1:6">
      <c r="A13" s="6" t="s">
        <v>193</v>
      </c>
      <c r="B13" s="7" t="s">
        <v>194</v>
      </c>
      <c r="C13" s="7" t="s">
        <v>195</v>
      </c>
      <c r="D13" s="7" t="s">
        <v>186</v>
      </c>
      <c r="E13" s="7" t="s">
        <v>187</v>
      </c>
      <c r="F13" s="8" t="s">
        <v>196</v>
      </c>
    </row>
    <row r="14" ht="14.4" spans="1:6">
      <c r="A14" s="6" t="s">
        <v>197</v>
      </c>
      <c r="B14" s="7" t="s">
        <v>198</v>
      </c>
      <c r="C14" s="7" t="s">
        <v>199</v>
      </c>
      <c r="D14" s="7" t="s">
        <v>186</v>
      </c>
      <c r="E14" s="7" t="s">
        <v>187</v>
      </c>
      <c r="F14" s="8" t="s">
        <v>200</v>
      </c>
    </row>
    <row r="15" ht="14.4" spans="1:6">
      <c r="A15" s="6" t="s">
        <v>34</v>
      </c>
      <c r="B15" s="7" t="s">
        <v>201</v>
      </c>
      <c r="C15" s="7" t="s">
        <v>202</v>
      </c>
      <c r="D15" s="7" t="s">
        <v>203</v>
      </c>
      <c r="E15" s="7" t="s">
        <v>187</v>
      </c>
      <c r="F15" s="8" t="s">
        <v>35</v>
      </c>
    </row>
    <row r="16" ht="14.4" spans="1:6">
      <c r="A16" s="6" t="s">
        <v>31</v>
      </c>
      <c r="B16" s="7" t="s">
        <v>204</v>
      </c>
      <c r="C16" s="7" t="s">
        <v>205</v>
      </c>
      <c r="D16" s="7" t="s">
        <v>206</v>
      </c>
      <c r="E16" s="7" t="s">
        <v>187</v>
      </c>
      <c r="F16" s="8" t="s">
        <v>207</v>
      </c>
    </row>
    <row r="17" ht="14.4" spans="1:6">
      <c r="A17" s="6" t="s">
        <v>208</v>
      </c>
      <c r="B17" s="7" t="s">
        <v>209</v>
      </c>
      <c r="C17" s="7" t="s">
        <v>210</v>
      </c>
      <c r="D17" s="7" t="s">
        <v>211</v>
      </c>
      <c r="E17" s="7" t="s">
        <v>187</v>
      </c>
      <c r="F17" s="8" t="s">
        <v>212</v>
      </c>
    </row>
    <row r="18" ht="14.4" spans="1:6">
      <c r="A18" s="6" t="s">
        <v>89</v>
      </c>
      <c r="B18" s="7" t="s">
        <v>213</v>
      </c>
      <c r="C18" s="7" t="s">
        <v>214</v>
      </c>
      <c r="D18" s="7" t="s">
        <v>215</v>
      </c>
      <c r="E18" s="7" t="s">
        <v>187</v>
      </c>
      <c r="F18" s="8" t="s">
        <v>91</v>
      </c>
    </row>
    <row r="19" ht="14.4" spans="1:6">
      <c r="A19" s="12" t="s">
        <v>216</v>
      </c>
      <c r="B19" s="13" t="s">
        <v>100</v>
      </c>
      <c r="C19" s="13" t="s">
        <v>217</v>
      </c>
      <c r="D19" s="13" t="s">
        <v>215</v>
      </c>
      <c r="E19" s="13" t="s">
        <v>187</v>
      </c>
      <c r="F19" s="14" t="s">
        <v>218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最终BOM</vt:lpstr>
      <vt:lpstr>归并说明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会飞的鱼</cp:lastModifiedBy>
  <dcterms:created xsi:type="dcterms:W3CDTF">2026-08-26T04:21:18Z</dcterms:created>
  <dcterms:modified xsi:type="dcterms:W3CDTF">2026-08-26T04:23:25Z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1F6DA818747C432396E0B0CBF69C1481_12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